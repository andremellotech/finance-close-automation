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Base aprovada" sheetId="2" r:id="rId2"/>
    <sheet name="Pendencias" sheetId="3" r:id="rId3"/>
    <sheet name="Conciliacao" sheetId="4" r:id="rId4"/>
    <sheet name="Rastreabilidade" sheetId="5" r:id="rId5"/>
  </sheets>
  <definedNames>
    <definedName name="_xlnm._FilterDatabase" localSheetId="1" hidden="1">'Base aprovada'!$A$6:$L$24</definedName>
    <definedName name="_xlnm._FilterDatabase" localSheetId="3" hidden="1">Conciliacao!$A$6:$H$9</definedName>
    <definedName name="_xlnm._FilterDatabase" localSheetId="2" hidden="1">Pendencias!$A$6:$L$7</definedName>
    <definedName name="_xlnm._FilterDatabase" localSheetId="4" hidden="1">Rastreabilidade!$A$6:$L$24</definedName>
    <definedName name="_xlnm.Print_Area" localSheetId="1">'Base aprovada'!$A$1:$L$24</definedName>
    <definedName name="_xlnm.Print_Area" localSheetId="2">Pendencias!$A$1:$L$7</definedName>
    <definedName name="_xlnm.Print_Area" localSheetId="4">Rastreabilidade!$A$1:$L$24</definedName>
    <definedName name="_xlnm.Print_Area" localSheetId="0">Resumo!$A$1:$D$29</definedName>
    <definedName name="_xlnm.Print_Titles" localSheetId="1">'Base aprovada'!$1:$6</definedName>
    <definedName name="_xlnm.Print_Titles" localSheetId="2">Pendencias!$1:$6</definedName>
    <definedName name="_xlnm.Print_Titles" localSheetId="4">Rastreabilidade!$1:$6</definedName>
  </definedNames>
  <calcPr calcId="124519" fullCalcOnLoad="1"/>
</workbook>
</file>

<file path=xl/sharedStrings.xml><?xml version="1.0" encoding="utf-8"?>
<sst xmlns="http://schemas.openxmlformats.org/spreadsheetml/2006/main" count="407" uniqueCount="95">
  <si>
    <t>Fechamento mensal</t>
  </si>
  <si>
    <t>Competência 2025-09 · Valores em BRL · Dados fictícios. Com pendências, a base é parcial.</t>
  </si>
  <si>
    <t>Indicador</t>
  </si>
  <si>
    <t>Resultado</t>
  </si>
  <si>
    <t>Status</t>
  </si>
  <si>
    <t>VALIDADO</t>
  </si>
  <si>
    <t>Competência</t>
  </si>
  <si>
    <t>2025-09</t>
  </si>
  <si>
    <t>Arquivos recebidos</t>
  </si>
  <si>
    <t>Linhas recebidas</t>
  </si>
  <si>
    <t>Linhas aprovadas</t>
  </si>
  <si>
    <t>Pendências de validação</t>
  </si>
  <si>
    <t>Duplicatas excluídas</t>
  </si>
  <si>
    <t>Linhas em conflito de ID</t>
  </si>
  <si>
    <t>Valores não quantificáveis</t>
  </si>
  <si>
    <t>Receitas da base aprovada</t>
  </si>
  <si>
    <t>Gastos líquidos da base aprovada</t>
  </si>
  <si>
    <t>Resultado da base aprovada</t>
  </si>
  <si>
    <t>Parcela aprovada</t>
  </si>
  <si>
    <t>Recebido quantificável</t>
  </si>
  <si>
    <t>Parcela excluída quantificável</t>
  </si>
  <si>
    <t>Diferença da ponte</t>
  </si>
  <si>
    <t>Conciliação compara as linhas recebidas aos controles de origem. Qualidade define quais linhas entram na base aprovada. Com valor inválido, a soma recebida é apenas a parcela quantificável.</t>
  </si>
  <si>
    <t>Base aprovada</t>
  </si>
  <si>
    <t>Origem preservada por arquivo, aba e linha · Valores em BRL · Dados fictícios</t>
  </si>
  <si>
    <t>arquivo</t>
  </si>
  <si>
    <t>aba</t>
  </si>
  <si>
    <t>linha</t>
  </si>
  <si>
    <t>registro_id</t>
  </si>
  <si>
    <t>data_competencia</t>
  </si>
  <si>
    <t>centro_custo</t>
  </si>
  <si>
    <t>categoria</t>
  </si>
  <si>
    <t>descricao</t>
  </si>
  <si>
    <t>valor_brl</t>
  </si>
  <si>
    <t>status</t>
  </si>
  <si>
    <t>motivos</t>
  </si>
  <si>
    <t>natureza</t>
  </si>
  <si>
    <t>analytics.csv</t>
  </si>
  <si>
    <t>CSV</t>
  </si>
  <si>
    <t>ANA-001</t>
  </si>
  <si>
    <t>2025-09-15</t>
  </si>
  <si>
    <t>ANA</t>
  </si>
  <si>
    <t>REV</t>
  </si>
  <si>
    <t>Receita — exemplo fictício</t>
  </si>
  <si>
    <t>APROVADO</t>
  </si>
  <si>
    <t>receita</t>
  </si>
  <si>
    <t>ANA-002</t>
  </si>
  <si>
    <t>DIR</t>
  </si>
  <si>
    <t>Custos diretos — exemplo fictício</t>
  </si>
  <si>
    <t>gasto</t>
  </si>
  <si>
    <t>ANA-003</t>
  </si>
  <si>
    <t>PES</t>
  </si>
  <si>
    <t>Pessoal — exemplo fictício</t>
  </si>
  <si>
    <t>ANA-004</t>
  </si>
  <si>
    <t>TEC</t>
  </si>
  <si>
    <t>Tecnologia — exemplo fictício</t>
  </si>
  <si>
    <t>ANA-005</t>
  </si>
  <si>
    <t>COM</t>
  </si>
  <si>
    <t>Comercial — exemplo fictício</t>
  </si>
  <si>
    <t>ANA-006</t>
  </si>
  <si>
    <t>ADM</t>
  </si>
  <si>
    <t>Administrativo — exemplo fictício</t>
  </si>
  <si>
    <t>engenharia.xlsx</t>
  </si>
  <si>
    <t>Lancamentos</t>
  </si>
  <si>
    <t>ENG-001</t>
  </si>
  <si>
    <t>ENG</t>
  </si>
  <si>
    <t>ENG-002</t>
  </si>
  <si>
    <t>ENG-003</t>
  </si>
  <si>
    <t>ENG-004</t>
  </si>
  <si>
    <t>ENG-005</t>
  </si>
  <si>
    <t>ENG-006</t>
  </si>
  <si>
    <t>operacoes.csv</t>
  </si>
  <si>
    <t>OPS-001</t>
  </si>
  <si>
    <t>OPS</t>
  </si>
  <si>
    <t>OPS-002</t>
  </si>
  <si>
    <t>OPS-003</t>
  </si>
  <si>
    <t>OPS-004</t>
  </si>
  <si>
    <t>OPS-005</t>
  </si>
  <si>
    <t>OPS-006</t>
  </si>
  <si>
    <t>Pendencias</t>
  </si>
  <si>
    <t>acao_sugerida</t>
  </si>
  <si>
    <t>Sem linhas nesta seleção</t>
  </si>
  <si>
    <t>Conciliação por arquivo</t>
  </si>
  <si>
    <t>Quantidade e total recebidos comparados ao controle · INCOMPLETO indica valores que não puderam ser somados</t>
  </si>
  <si>
    <t>Arquivo</t>
  </si>
  <si>
    <t>Linhas esperadas</t>
  </si>
  <si>
    <t>Recebido quantificável (BRL)</t>
  </si>
  <si>
    <t>Controle (BRL)</t>
  </si>
  <si>
    <t>Diferença (BRL)</t>
  </si>
  <si>
    <t>CONCILIADO</t>
  </si>
  <si>
    <t>Rastreabilidade</t>
  </si>
  <si>
    <t>sha256_arquivo</t>
  </si>
  <si>
    <t>a8bc72cab6686f94bfd0c33da53d4bf369c627eede3e98689913c1f05fe02f48</t>
  </si>
  <si>
    <t>c1c1a1696e53655008f891558116c1524e07ff0fcc2d09f5212137bd2c9aadb3</t>
  </si>
  <si>
    <t>6473980937e40a02d60ee47b5c1a324c7a7efa307a0cc4e71d9b4a0a32eda869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</si>
</sst>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0"/>
      <color rgb="FF52707B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0C6B4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2C38"/>
        <bgColor indexed="64"/>
      </patternFill>
    </fill>
    <fill>
      <patternFill patternType="solid">
        <fgColor rgb="FF254553"/>
        <bgColor indexed="64"/>
      </patternFill>
    </fill>
    <fill>
      <patternFill patternType="solid">
        <fgColor rgb="FFE1F4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9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0" xfId="0" applyFont="1" applyFill="1" applyAlignment="1">
      <alignment vertical="center"/>
    </xf>
    <xf numFmtId="1" fontId="6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tabSelected="1" workbookViewId="0">
      <pane ySplit="6" topLeftCell="A7" activePane="bottomLeft" state="frozen"/>
      <selection pane="bottomLeft"/>
    </sheetView>
  </sheetViews>
  <sheetFormatPr defaultRowHeight="25" customHeight="1"/>
  <cols>
    <col min="1" max="1" width="37.7109375" customWidth="1"/>
    <col min="2" max="2" width="25.7109375" customWidth="1"/>
    <col min="3" max="4" width="13.7109375" customWidth="1"/>
  </cols>
  <sheetData>
    <row r="1" spans="1:4" ht="25" customHeight="1">
      <c r="A1" s="1" t="s">
        <v>0</v>
      </c>
      <c r="B1" s="1"/>
      <c r="C1" s="1"/>
      <c r="D1" s="1"/>
    </row>
    <row r="2" spans="1:4" ht="25" customHeight="1">
      <c r="A2" s="1"/>
      <c r="B2" s="1"/>
      <c r="C2" s="1"/>
      <c r="D2" s="1"/>
    </row>
    <row r="3" spans="1:4" ht="25" customHeight="1">
      <c r="A3" s="2" t="s">
        <v>1</v>
      </c>
      <c r="B3" s="2"/>
      <c r="C3" s="2"/>
      <c r="D3" s="2"/>
    </row>
    <row r="4" spans="1:4" ht="25" customHeight="1">
      <c r="A4" s="2"/>
      <c r="B4" s="2"/>
      <c r="C4" s="2"/>
      <c r="D4" s="2"/>
    </row>
    <row r="6" spans="1:4" ht="25" customHeight="1">
      <c r="A6" s="3" t="s">
        <v>2</v>
      </c>
      <c r="B6" s="3" t="s">
        <v>3</v>
      </c>
    </row>
    <row r="7" spans="1:4" ht="25" customHeight="1">
      <c r="A7" s="4" t="s">
        <v>4</v>
      </c>
      <c r="B7" s="5" t="s">
        <v>5</v>
      </c>
    </row>
    <row r="8" spans="1:4" ht="25" customHeight="1">
      <c r="A8" s="4" t="s">
        <v>6</v>
      </c>
      <c r="B8" s="4" t="s">
        <v>7</v>
      </c>
    </row>
    <row r="9" spans="1:4" ht="25" customHeight="1">
      <c r="A9" s="4" t="s">
        <v>8</v>
      </c>
      <c r="B9" s="6">
        <v>3</v>
      </c>
    </row>
    <row r="10" spans="1:4" ht="25" customHeight="1">
      <c r="A10" s="4" t="s">
        <v>9</v>
      </c>
      <c r="B10" s="6">
        <v>18</v>
      </c>
    </row>
    <row r="11" spans="1:4" ht="25" customHeight="1">
      <c r="A11" s="4" t="s">
        <v>10</v>
      </c>
      <c r="B11" s="6">
        <v>18</v>
      </c>
    </row>
    <row r="12" spans="1:4" ht="25" customHeight="1">
      <c r="A12" s="4" t="s">
        <v>11</v>
      </c>
      <c r="B12" s="6">
        <v>0</v>
      </c>
    </row>
    <row r="13" spans="1:4" ht="25" customHeight="1">
      <c r="A13" s="4" t="s">
        <v>12</v>
      </c>
      <c r="B13" s="6">
        <v>0</v>
      </c>
    </row>
    <row r="14" spans="1:4" ht="25" customHeight="1">
      <c r="A14" s="4" t="s">
        <v>13</v>
      </c>
      <c r="B14" s="6">
        <v>0</v>
      </c>
    </row>
    <row r="15" spans="1:4" ht="25" customHeight="1">
      <c r="A15" s="4" t="s">
        <v>14</v>
      </c>
      <c r="B15" s="6">
        <v>0</v>
      </c>
    </row>
    <row r="17" spans="1:4" ht="25" customHeight="1">
      <c r="A17" s="4" t="s">
        <v>15</v>
      </c>
      <c r="B17" s="7">
        <f>SUMIF('Base aprovada'!L7:L24,"receita",'Base aprovada'!I7:I24)</f>
        <v>600000.0</v>
      </c>
    </row>
    <row r="18" spans="1:4" ht="25" customHeight="1">
      <c r="A18" s="4" t="s">
        <v>16</v>
      </c>
      <c r="B18" s="7">
        <f>-SUMIF('Base aprovada'!L7:L24,"gasto",'Base aprovada'!I7:I24)</f>
        <v>455000.0</v>
      </c>
    </row>
    <row r="19" spans="1:4" ht="25" customHeight="1">
      <c r="A19" s="4" t="s">
        <v>17</v>
      </c>
      <c r="B19" s="7">
        <f>B17-B18</f>
        <v>145000.0</v>
      </c>
    </row>
    <row r="21" spans="1:4" ht="25" customHeight="1">
      <c r="A21" s="4" t="s">
        <v>19</v>
      </c>
      <c r="B21" s="7">
        <v>145000</v>
      </c>
    </row>
    <row r="22" spans="1:4" ht="25" customHeight="1">
      <c r="A22" s="4" t="s">
        <v>18</v>
      </c>
      <c r="B22" s="7">
        <f>SUM('Base aprovada'!I7:I24)</f>
        <v>145000.0</v>
      </c>
    </row>
    <row r="23" spans="1:4" ht="25" customHeight="1">
      <c r="A23" s="4" t="s">
        <v>20</v>
      </c>
      <c r="B23" s="7">
        <v>0</v>
      </c>
    </row>
    <row r="24" spans="1:4" ht="25" customHeight="1">
      <c r="A24" s="4" t="s">
        <v>21</v>
      </c>
      <c r="B24" s="7">
        <f>B21-B22-B23</f>
        <v>0</v>
      </c>
    </row>
    <row r="27" spans="1:4" ht="25" customHeight="1">
      <c r="A27" s="2" t="s">
        <v>22</v>
      </c>
      <c r="B27" s="2"/>
      <c r="C27" s="2"/>
      <c r="D27" s="2"/>
    </row>
    <row r="28" spans="1:4" ht="25" customHeight="1">
      <c r="A28" s="2"/>
      <c r="B28" s="2"/>
      <c r="C28" s="2"/>
      <c r="D28" s="2"/>
    </row>
    <row r="29" spans="1:4" ht="25" customHeight="1">
      <c r="A29" s="2"/>
      <c r="B29" s="2"/>
      <c r="C29" s="2"/>
      <c r="D29" s="2"/>
    </row>
  </sheetData>
  <mergeCells count="3">
    <mergeCell ref="A1:D2"/>
    <mergeCell ref="A3:D4"/>
    <mergeCell ref="A27:D29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4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19.7109375" customWidth="1"/>
  </cols>
  <sheetData>
    <row r="1" spans="1:12" ht="25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36</v>
      </c>
    </row>
    <row r="7" spans="1:12" ht="36" customHeight="1">
      <c r="A7" s="4" t="s">
        <v>37</v>
      </c>
      <c r="B7" s="4" t="s">
        <v>38</v>
      </c>
      <c r="C7" s="6">
        <v>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>
        <v>200000</v>
      </c>
      <c r="J7" s="4" t="s">
        <v>44</v>
      </c>
      <c r="K7" s="4"/>
      <c r="L7" s="4" t="s">
        <v>45</v>
      </c>
    </row>
    <row r="8" spans="1:12" ht="36" customHeight="1">
      <c r="A8" s="4" t="s">
        <v>37</v>
      </c>
      <c r="B8" s="4" t="s">
        <v>38</v>
      </c>
      <c r="C8" s="6">
        <v>3</v>
      </c>
      <c r="D8" s="4" t="s">
        <v>46</v>
      </c>
      <c r="E8" s="4" t="s">
        <v>40</v>
      </c>
      <c r="F8" s="4" t="s">
        <v>41</v>
      </c>
      <c r="G8" s="4" t="s">
        <v>47</v>
      </c>
      <c r="H8" s="4" t="s">
        <v>48</v>
      </c>
      <c r="I8" s="7">
        <v>-50000</v>
      </c>
      <c r="J8" s="4" t="s">
        <v>44</v>
      </c>
      <c r="K8" s="4"/>
      <c r="L8" s="4" t="s">
        <v>49</v>
      </c>
    </row>
    <row r="9" spans="1:12" ht="36" customHeight="1">
      <c r="A9" s="4" t="s">
        <v>37</v>
      </c>
      <c r="B9" s="4" t="s">
        <v>38</v>
      </c>
      <c r="C9" s="6">
        <v>4</v>
      </c>
      <c r="D9" s="4" t="s">
        <v>50</v>
      </c>
      <c r="E9" s="4" t="s">
        <v>40</v>
      </c>
      <c r="F9" s="4" t="s">
        <v>41</v>
      </c>
      <c r="G9" s="4" t="s">
        <v>51</v>
      </c>
      <c r="H9" s="4" t="s">
        <v>52</v>
      </c>
      <c r="I9" s="7">
        <v>-60000</v>
      </c>
      <c r="J9" s="4" t="s">
        <v>44</v>
      </c>
      <c r="K9" s="4"/>
      <c r="L9" s="4" t="s">
        <v>49</v>
      </c>
    </row>
    <row r="10" spans="1:12" ht="36" customHeight="1">
      <c r="A10" s="4" t="s">
        <v>37</v>
      </c>
      <c r="B10" s="4" t="s">
        <v>38</v>
      </c>
      <c r="C10" s="6">
        <v>5</v>
      </c>
      <c r="D10" s="4" t="s">
        <v>53</v>
      </c>
      <c r="E10" s="4" t="s">
        <v>40</v>
      </c>
      <c r="F10" s="4" t="s">
        <v>41</v>
      </c>
      <c r="G10" s="4" t="s">
        <v>54</v>
      </c>
      <c r="H10" s="4" t="s">
        <v>55</v>
      </c>
      <c r="I10" s="7">
        <v>-15000</v>
      </c>
      <c r="J10" s="4" t="s">
        <v>44</v>
      </c>
      <c r="K10" s="4"/>
      <c r="L10" s="4" t="s">
        <v>49</v>
      </c>
    </row>
    <row r="11" spans="1:12" ht="36" customHeight="1">
      <c r="A11" s="4" t="s">
        <v>37</v>
      </c>
      <c r="B11" s="4" t="s">
        <v>38</v>
      </c>
      <c r="C11" s="6">
        <v>6</v>
      </c>
      <c r="D11" s="4" t="s">
        <v>56</v>
      </c>
      <c r="E11" s="4" t="s">
        <v>40</v>
      </c>
      <c r="F11" s="4" t="s">
        <v>41</v>
      </c>
      <c r="G11" s="4" t="s">
        <v>57</v>
      </c>
      <c r="H11" s="4" t="s">
        <v>58</v>
      </c>
      <c r="I11" s="7">
        <v>-8000</v>
      </c>
      <c r="J11" s="4" t="s">
        <v>44</v>
      </c>
      <c r="K11" s="4"/>
      <c r="L11" s="4" t="s">
        <v>49</v>
      </c>
    </row>
    <row r="12" spans="1:12" ht="36" customHeight="1">
      <c r="A12" s="4" t="s">
        <v>37</v>
      </c>
      <c r="B12" s="4" t="s">
        <v>38</v>
      </c>
      <c r="C12" s="6">
        <v>7</v>
      </c>
      <c r="D12" s="4" t="s">
        <v>59</v>
      </c>
      <c r="E12" s="4" t="s">
        <v>40</v>
      </c>
      <c r="F12" s="4" t="s">
        <v>41</v>
      </c>
      <c r="G12" s="4" t="s">
        <v>60</v>
      </c>
      <c r="H12" s="4" t="s">
        <v>61</v>
      </c>
      <c r="I12" s="7">
        <v>-7000</v>
      </c>
      <c r="J12" s="4" t="s">
        <v>44</v>
      </c>
      <c r="K12" s="4"/>
      <c r="L12" s="4" t="s">
        <v>49</v>
      </c>
    </row>
    <row r="13" spans="1:12" ht="36" customHeight="1">
      <c r="A13" s="4" t="s">
        <v>62</v>
      </c>
      <c r="B13" s="4" t="s">
        <v>63</v>
      </c>
      <c r="C13" s="6">
        <v>2</v>
      </c>
      <c r="D13" s="4" t="s">
        <v>64</v>
      </c>
      <c r="E13" s="4" t="s">
        <v>40</v>
      </c>
      <c r="F13" s="4" t="s">
        <v>65</v>
      </c>
      <c r="G13" s="4" t="s">
        <v>42</v>
      </c>
      <c r="H13" s="4" t="s">
        <v>43</v>
      </c>
      <c r="I13" s="7">
        <v>180000</v>
      </c>
      <c r="J13" s="4" t="s">
        <v>44</v>
      </c>
      <c r="K13" s="4"/>
      <c r="L13" s="4" t="s">
        <v>45</v>
      </c>
    </row>
    <row r="14" spans="1:12" ht="36" customHeight="1">
      <c r="A14" s="4" t="s">
        <v>62</v>
      </c>
      <c r="B14" s="4" t="s">
        <v>63</v>
      </c>
      <c r="C14" s="6">
        <v>3</v>
      </c>
      <c r="D14" s="4" t="s">
        <v>66</v>
      </c>
      <c r="E14" s="4" t="s">
        <v>40</v>
      </c>
      <c r="F14" s="4" t="s">
        <v>65</v>
      </c>
      <c r="G14" s="4" t="s">
        <v>47</v>
      </c>
      <c r="H14" s="4" t="s">
        <v>48</v>
      </c>
      <c r="I14" s="7">
        <v>-60000</v>
      </c>
      <c r="J14" s="4" t="s">
        <v>44</v>
      </c>
      <c r="K14" s="4"/>
      <c r="L14" s="4" t="s">
        <v>49</v>
      </c>
    </row>
    <row r="15" spans="1:12" ht="36" customHeight="1">
      <c r="A15" s="4" t="s">
        <v>62</v>
      </c>
      <c r="B15" s="4" t="s">
        <v>63</v>
      </c>
      <c r="C15" s="6">
        <v>4</v>
      </c>
      <c r="D15" s="4" t="s">
        <v>67</v>
      </c>
      <c r="E15" s="4" t="s">
        <v>40</v>
      </c>
      <c r="F15" s="4" t="s">
        <v>65</v>
      </c>
      <c r="G15" s="4" t="s">
        <v>51</v>
      </c>
      <c r="H15" s="4" t="s">
        <v>52</v>
      </c>
      <c r="I15" s="7">
        <v>-55000</v>
      </c>
      <c r="J15" s="4" t="s">
        <v>44</v>
      </c>
      <c r="K15" s="4"/>
      <c r="L15" s="4" t="s">
        <v>49</v>
      </c>
    </row>
    <row r="16" spans="1:12" ht="36" customHeight="1">
      <c r="A16" s="4" t="s">
        <v>62</v>
      </c>
      <c r="B16" s="4" t="s">
        <v>63</v>
      </c>
      <c r="C16" s="6">
        <v>5</v>
      </c>
      <c r="D16" s="4" t="s">
        <v>68</v>
      </c>
      <c r="E16" s="4" t="s">
        <v>40</v>
      </c>
      <c r="F16" s="4" t="s">
        <v>65</v>
      </c>
      <c r="G16" s="4" t="s">
        <v>54</v>
      </c>
      <c r="H16" s="4" t="s">
        <v>55</v>
      </c>
      <c r="I16" s="7">
        <v>-12000</v>
      </c>
      <c r="J16" s="4" t="s">
        <v>44</v>
      </c>
      <c r="K16" s="4"/>
      <c r="L16" s="4" t="s">
        <v>49</v>
      </c>
    </row>
    <row r="17" spans="1:12" ht="36" customHeight="1">
      <c r="A17" s="4" t="s">
        <v>62</v>
      </c>
      <c r="B17" s="4" t="s">
        <v>63</v>
      </c>
      <c r="C17" s="6">
        <v>6</v>
      </c>
      <c r="D17" s="4" t="s">
        <v>69</v>
      </c>
      <c r="E17" s="4" t="s">
        <v>40</v>
      </c>
      <c r="F17" s="4" t="s">
        <v>65</v>
      </c>
      <c r="G17" s="4" t="s">
        <v>57</v>
      </c>
      <c r="H17" s="4" t="s">
        <v>58</v>
      </c>
      <c r="I17" s="7">
        <v>-9000</v>
      </c>
      <c r="J17" s="4" t="s">
        <v>44</v>
      </c>
      <c r="K17" s="4"/>
      <c r="L17" s="4" t="s">
        <v>49</v>
      </c>
    </row>
    <row r="18" spans="1:12" ht="36" customHeight="1">
      <c r="A18" s="4" t="s">
        <v>62</v>
      </c>
      <c r="B18" s="4" t="s">
        <v>63</v>
      </c>
      <c r="C18" s="6">
        <v>7</v>
      </c>
      <c r="D18" s="4" t="s">
        <v>70</v>
      </c>
      <c r="E18" s="4" t="s">
        <v>40</v>
      </c>
      <c r="F18" s="4" t="s">
        <v>65</v>
      </c>
      <c r="G18" s="4" t="s">
        <v>60</v>
      </c>
      <c r="H18" s="4" t="s">
        <v>61</v>
      </c>
      <c r="I18" s="7">
        <v>-4000</v>
      </c>
      <c r="J18" s="4" t="s">
        <v>44</v>
      </c>
      <c r="K18" s="4"/>
      <c r="L18" s="4" t="s">
        <v>49</v>
      </c>
    </row>
    <row r="19" spans="1:12" ht="36" customHeight="1">
      <c r="A19" s="4" t="s">
        <v>71</v>
      </c>
      <c r="B19" s="4" t="s">
        <v>38</v>
      </c>
      <c r="C19" s="6">
        <v>2</v>
      </c>
      <c r="D19" s="4" t="s">
        <v>72</v>
      </c>
      <c r="E19" s="4" t="s">
        <v>40</v>
      </c>
      <c r="F19" s="4" t="s">
        <v>73</v>
      </c>
      <c r="G19" s="4" t="s">
        <v>42</v>
      </c>
      <c r="H19" s="4" t="s">
        <v>43</v>
      </c>
      <c r="I19" s="7">
        <v>220000</v>
      </c>
      <c r="J19" s="4" t="s">
        <v>44</v>
      </c>
      <c r="K19" s="4"/>
      <c r="L19" s="4" t="s">
        <v>45</v>
      </c>
    </row>
    <row r="20" spans="1:12" ht="36" customHeight="1">
      <c r="A20" s="4" t="s">
        <v>71</v>
      </c>
      <c r="B20" s="4" t="s">
        <v>38</v>
      </c>
      <c r="C20" s="6">
        <v>3</v>
      </c>
      <c r="D20" s="4" t="s">
        <v>74</v>
      </c>
      <c r="E20" s="4" t="s">
        <v>40</v>
      </c>
      <c r="F20" s="4" t="s">
        <v>73</v>
      </c>
      <c r="G20" s="4" t="s">
        <v>47</v>
      </c>
      <c r="H20" s="4" t="s">
        <v>48</v>
      </c>
      <c r="I20" s="7">
        <v>-75000</v>
      </c>
      <c r="J20" s="4" t="s">
        <v>44</v>
      </c>
      <c r="K20" s="4"/>
      <c r="L20" s="4" t="s">
        <v>49</v>
      </c>
    </row>
    <row r="21" spans="1:12" ht="36" customHeight="1">
      <c r="A21" s="4" t="s">
        <v>71</v>
      </c>
      <c r="B21" s="4" t="s">
        <v>38</v>
      </c>
      <c r="C21" s="6">
        <v>4</v>
      </c>
      <c r="D21" s="4" t="s">
        <v>75</v>
      </c>
      <c r="E21" s="4" t="s">
        <v>40</v>
      </c>
      <c r="F21" s="4" t="s">
        <v>73</v>
      </c>
      <c r="G21" s="4" t="s">
        <v>51</v>
      </c>
      <c r="H21" s="4" t="s">
        <v>52</v>
      </c>
      <c r="I21" s="7">
        <v>-70000</v>
      </c>
      <c r="J21" s="4" t="s">
        <v>44</v>
      </c>
      <c r="K21" s="4"/>
      <c r="L21" s="4" t="s">
        <v>49</v>
      </c>
    </row>
    <row r="22" spans="1:12" ht="36" customHeight="1">
      <c r="A22" s="4" t="s">
        <v>71</v>
      </c>
      <c r="B22" s="4" t="s">
        <v>38</v>
      </c>
      <c r="C22" s="6">
        <v>5</v>
      </c>
      <c r="D22" s="4" t="s">
        <v>76</v>
      </c>
      <c r="E22" s="4" t="s">
        <v>40</v>
      </c>
      <c r="F22" s="4" t="s">
        <v>73</v>
      </c>
      <c r="G22" s="4" t="s">
        <v>54</v>
      </c>
      <c r="H22" s="4" t="s">
        <v>55</v>
      </c>
      <c r="I22" s="7">
        <v>-14000</v>
      </c>
      <c r="J22" s="4" t="s">
        <v>44</v>
      </c>
      <c r="K22" s="4"/>
      <c r="L22" s="4" t="s">
        <v>49</v>
      </c>
    </row>
    <row r="23" spans="1:12" ht="36" customHeight="1">
      <c r="A23" s="4" t="s">
        <v>71</v>
      </c>
      <c r="B23" s="4" t="s">
        <v>38</v>
      </c>
      <c r="C23" s="6">
        <v>6</v>
      </c>
      <c r="D23" s="4" t="s">
        <v>77</v>
      </c>
      <c r="E23" s="4" t="s">
        <v>40</v>
      </c>
      <c r="F23" s="4" t="s">
        <v>73</v>
      </c>
      <c r="G23" s="4" t="s">
        <v>57</v>
      </c>
      <c r="H23" s="4" t="s">
        <v>58</v>
      </c>
      <c r="I23" s="7">
        <v>-11000</v>
      </c>
      <c r="J23" s="4" t="s">
        <v>44</v>
      </c>
      <c r="K23" s="4"/>
      <c r="L23" s="4" t="s">
        <v>49</v>
      </c>
    </row>
    <row r="24" spans="1:12" ht="36" customHeight="1">
      <c r="A24" s="4" t="s">
        <v>71</v>
      </c>
      <c r="B24" s="4" t="s">
        <v>38</v>
      </c>
      <c r="C24" s="6">
        <v>7</v>
      </c>
      <c r="D24" s="4" t="s">
        <v>78</v>
      </c>
      <c r="E24" s="4" t="s">
        <v>40</v>
      </c>
      <c r="F24" s="4" t="s">
        <v>73</v>
      </c>
      <c r="G24" s="4" t="s">
        <v>60</v>
      </c>
      <c r="H24" s="4" t="s">
        <v>61</v>
      </c>
      <c r="I24" s="7">
        <v>-5000</v>
      </c>
      <c r="J24" s="4" t="s">
        <v>44</v>
      </c>
      <c r="K24" s="4"/>
      <c r="L24" s="4" t="s">
        <v>49</v>
      </c>
    </row>
  </sheetData>
  <autoFilter ref="A6:L24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64.7109375" customWidth="1"/>
  </cols>
  <sheetData>
    <row r="1" spans="1:12" ht="25" customHeight="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80</v>
      </c>
    </row>
    <row r="7" spans="1:12" ht="25" customHeight="1">
      <c r="A7" s="2" t="s">
        <v>81</v>
      </c>
    </row>
  </sheetData>
  <autoFilter ref="A6:L7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5" customHeight="1"/>
  <cols>
    <col min="1" max="1" width="24.7109375" customWidth="1"/>
    <col min="2" max="7" width="21.7109375" customWidth="1"/>
    <col min="8" max="8" width="23.7109375" customWidth="1"/>
  </cols>
  <sheetData>
    <row r="1" spans="1:8" ht="25" customHeight="1">
      <c r="A1" s="1" t="s">
        <v>82</v>
      </c>
      <c r="B1" s="1"/>
      <c r="C1" s="1"/>
      <c r="D1" s="1"/>
      <c r="E1" s="1"/>
      <c r="F1" s="1"/>
      <c r="G1" s="1"/>
      <c r="H1" s="1"/>
    </row>
    <row r="2" spans="1:8" ht="25" customHeight="1">
      <c r="A2" s="1"/>
      <c r="B2" s="1"/>
      <c r="C2" s="1"/>
      <c r="D2" s="1"/>
      <c r="E2" s="1"/>
      <c r="F2" s="1"/>
      <c r="G2" s="1"/>
      <c r="H2" s="1"/>
    </row>
    <row r="3" spans="1:8" ht="25" customHeight="1">
      <c r="A3" s="2" t="s">
        <v>83</v>
      </c>
      <c r="B3" s="2"/>
      <c r="C3" s="2"/>
      <c r="D3" s="2"/>
      <c r="E3" s="2"/>
      <c r="F3" s="2"/>
      <c r="G3" s="2"/>
      <c r="H3" s="2"/>
    </row>
    <row r="4" spans="1:8" ht="25" customHeight="1">
      <c r="A4" s="2"/>
      <c r="B4" s="2"/>
      <c r="C4" s="2"/>
      <c r="D4" s="2"/>
      <c r="E4" s="2"/>
      <c r="F4" s="2"/>
      <c r="G4" s="2"/>
      <c r="H4" s="2"/>
    </row>
    <row r="6" spans="1:8" ht="36" customHeight="1">
      <c r="A6" s="3" t="s">
        <v>84</v>
      </c>
      <c r="B6" s="3" t="s">
        <v>9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14</v>
      </c>
      <c r="H6" s="3" t="s">
        <v>4</v>
      </c>
    </row>
    <row r="7" spans="1:8" ht="36" customHeight="1">
      <c r="A7" s="4" t="s">
        <v>37</v>
      </c>
      <c r="B7" s="4">
        <v>6</v>
      </c>
      <c r="C7" s="4">
        <v>6</v>
      </c>
      <c r="D7" s="7">
        <v>60000</v>
      </c>
      <c r="E7" s="7">
        <v>60000</v>
      </c>
      <c r="F7" s="7">
        <v>0</v>
      </c>
      <c r="G7" s="4">
        <v>0</v>
      </c>
      <c r="H7" s="4" t="s">
        <v>89</v>
      </c>
    </row>
    <row r="8" spans="1:8" ht="36" customHeight="1">
      <c r="A8" s="4" t="s">
        <v>62</v>
      </c>
      <c r="B8" s="4">
        <v>6</v>
      </c>
      <c r="C8" s="4">
        <v>6</v>
      </c>
      <c r="D8" s="7">
        <v>40000</v>
      </c>
      <c r="E8" s="7">
        <v>40000</v>
      </c>
      <c r="F8" s="7">
        <v>0</v>
      </c>
      <c r="G8" s="4">
        <v>0</v>
      </c>
      <c r="H8" s="4" t="s">
        <v>89</v>
      </c>
    </row>
    <row r="9" spans="1:8" ht="36" customHeight="1">
      <c r="A9" s="4" t="s">
        <v>71</v>
      </c>
      <c r="B9" s="4">
        <v>6</v>
      </c>
      <c r="C9" s="4">
        <v>6</v>
      </c>
      <c r="D9" s="7">
        <v>45000</v>
      </c>
      <c r="E9" s="7">
        <v>45000</v>
      </c>
      <c r="F9" s="7">
        <v>0</v>
      </c>
      <c r="G9" s="4">
        <v>0</v>
      </c>
      <c r="H9" s="4" t="s">
        <v>89</v>
      </c>
    </row>
  </sheetData>
  <autoFilter ref="A6:H9"/>
  <mergeCells count="2">
    <mergeCell ref="A1:H2"/>
    <mergeCell ref="A3:H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4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25.7109375" customWidth="1"/>
  </cols>
  <sheetData>
    <row r="1" spans="1:12" ht="25" customHeight="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91</v>
      </c>
    </row>
    <row r="7" spans="1:12" ht="46" customHeight="1">
      <c r="A7" s="4" t="s">
        <v>37</v>
      </c>
      <c r="B7" s="4" t="s">
        <v>38</v>
      </c>
      <c r="C7" s="6">
        <v>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>
        <v>200000</v>
      </c>
      <c r="J7" s="4" t="s">
        <v>44</v>
      </c>
      <c r="K7" s="4"/>
      <c r="L7" s="4" t="s">
        <v>92</v>
      </c>
    </row>
    <row r="8" spans="1:12" ht="46" customHeight="1">
      <c r="A8" s="4" t="s">
        <v>37</v>
      </c>
      <c r="B8" s="4" t="s">
        <v>38</v>
      </c>
      <c r="C8" s="6">
        <v>3</v>
      </c>
      <c r="D8" s="4" t="s">
        <v>46</v>
      </c>
      <c r="E8" s="4" t="s">
        <v>40</v>
      </c>
      <c r="F8" s="4" t="s">
        <v>41</v>
      </c>
      <c r="G8" s="4" t="s">
        <v>47</v>
      </c>
      <c r="H8" s="4" t="s">
        <v>48</v>
      </c>
      <c r="I8" s="7">
        <v>-50000</v>
      </c>
      <c r="J8" s="4" t="s">
        <v>44</v>
      </c>
      <c r="K8" s="4"/>
      <c r="L8" s="4" t="s">
        <v>92</v>
      </c>
    </row>
    <row r="9" spans="1:12" ht="46" customHeight="1">
      <c r="A9" s="4" t="s">
        <v>37</v>
      </c>
      <c r="B9" s="4" t="s">
        <v>38</v>
      </c>
      <c r="C9" s="6">
        <v>4</v>
      </c>
      <c r="D9" s="4" t="s">
        <v>50</v>
      </c>
      <c r="E9" s="4" t="s">
        <v>40</v>
      </c>
      <c r="F9" s="4" t="s">
        <v>41</v>
      </c>
      <c r="G9" s="4" t="s">
        <v>51</v>
      </c>
      <c r="H9" s="4" t="s">
        <v>52</v>
      </c>
      <c r="I9" s="7">
        <v>-60000</v>
      </c>
      <c r="J9" s="4" t="s">
        <v>44</v>
      </c>
      <c r="K9" s="4"/>
      <c r="L9" s="4" t="s">
        <v>92</v>
      </c>
    </row>
    <row r="10" spans="1:12" ht="46" customHeight="1">
      <c r="A10" s="4" t="s">
        <v>37</v>
      </c>
      <c r="B10" s="4" t="s">
        <v>38</v>
      </c>
      <c r="C10" s="6">
        <v>5</v>
      </c>
      <c r="D10" s="4" t="s">
        <v>53</v>
      </c>
      <c r="E10" s="4" t="s">
        <v>40</v>
      </c>
      <c r="F10" s="4" t="s">
        <v>41</v>
      </c>
      <c r="G10" s="4" t="s">
        <v>54</v>
      </c>
      <c r="H10" s="4" t="s">
        <v>55</v>
      </c>
      <c r="I10" s="7">
        <v>-15000</v>
      </c>
      <c r="J10" s="4" t="s">
        <v>44</v>
      </c>
      <c r="K10" s="4"/>
      <c r="L10" s="4" t="s">
        <v>92</v>
      </c>
    </row>
    <row r="11" spans="1:12" ht="46" customHeight="1">
      <c r="A11" s="4" t="s">
        <v>37</v>
      </c>
      <c r="B11" s="4" t="s">
        <v>38</v>
      </c>
      <c r="C11" s="6">
        <v>6</v>
      </c>
      <c r="D11" s="4" t="s">
        <v>56</v>
      </c>
      <c r="E11" s="4" t="s">
        <v>40</v>
      </c>
      <c r="F11" s="4" t="s">
        <v>41</v>
      </c>
      <c r="G11" s="4" t="s">
        <v>57</v>
      </c>
      <c r="H11" s="4" t="s">
        <v>58</v>
      </c>
      <c r="I11" s="7">
        <v>-8000</v>
      </c>
      <c r="J11" s="4" t="s">
        <v>44</v>
      </c>
      <c r="K11" s="4"/>
      <c r="L11" s="4" t="s">
        <v>92</v>
      </c>
    </row>
    <row r="12" spans="1:12" ht="46" customHeight="1">
      <c r="A12" s="4" t="s">
        <v>37</v>
      </c>
      <c r="B12" s="4" t="s">
        <v>38</v>
      </c>
      <c r="C12" s="6">
        <v>7</v>
      </c>
      <c r="D12" s="4" t="s">
        <v>59</v>
      </c>
      <c r="E12" s="4" t="s">
        <v>40</v>
      </c>
      <c r="F12" s="4" t="s">
        <v>41</v>
      </c>
      <c r="G12" s="4" t="s">
        <v>60</v>
      </c>
      <c r="H12" s="4" t="s">
        <v>61</v>
      </c>
      <c r="I12" s="7">
        <v>-7000</v>
      </c>
      <c r="J12" s="4" t="s">
        <v>44</v>
      </c>
      <c r="K12" s="4"/>
      <c r="L12" s="4" t="s">
        <v>92</v>
      </c>
    </row>
    <row r="13" spans="1:12" ht="46" customHeight="1">
      <c r="A13" s="4" t="s">
        <v>62</v>
      </c>
      <c r="B13" s="4" t="s">
        <v>63</v>
      </c>
      <c r="C13" s="6">
        <v>2</v>
      </c>
      <c r="D13" s="4" t="s">
        <v>64</v>
      </c>
      <c r="E13" s="4" t="s">
        <v>40</v>
      </c>
      <c r="F13" s="4" t="s">
        <v>65</v>
      </c>
      <c r="G13" s="4" t="s">
        <v>42</v>
      </c>
      <c r="H13" s="4" t="s">
        <v>43</v>
      </c>
      <c r="I13" s="7">
        <v>180000</v>
      </c>
      <c r="J13" s="4" t="s">
        <v>44</v>
      </c>
      <c r="K13" s="4"/>
      <c r="L13" s="4" t="s">
        <v>93</v>
      </c>
    </row>
    <row r="14" spans="1:12" ht="46" customHeight="1">
      <c r="A14" s="4" t="s">
        <v>62</v>
      </c>
      <c r="B14" s="4" t="s">
        <v>63</v>
      </c>
      <c r="C14" s="6">
        <v>3</v>
      </c>
      <c r="D14" s="4" t="s">
        <v>66</v>
      </c>
      <c r="E14" s="4" t="s">
        <v>40</v>
      </c>
      <c r="F14" s="4" t="s">
        <v>65</v>
      </c>
      <c r="G14" s="4" t="s">
        <v>47</v>
      </c>
      <c r="H14" s="4" t="s">
        <v>48</v>
      </c>
      <c r="I14" s="7">
        <v>-60000</v>
      </c>
      <c r="J14" s="4" t="s">
        <v>44</v>
      </c>
      <c r="K14" s="4"/>
      <c r="L14" s="4" t="s">
        <v>93</v>
      </c>
    </row>
    <row r="15" spans="1:12" ht="46" customHeight="1">
      <c r="A15" s="4" t="s">
        <v>62</v>
      </c>
      <c r="B15" s="4" t="s">
        <v>63</v>
      </c>
      <c r="C15" s="6">
        <v>4</v>
      </c>
      <c r="D15" s="4" t="s">
        <v>67</v>
      </c>
      <c r="E15" s="4" t="s">
        <v>40</v>
      </c>
      <c r="F15" s="4" t="s">
        <v>65</v>
      </c>
      <c r="G15" s="4" t="s">
        <v>51</v>
      </c>
      <c r="H15" s="4" t="s">
        <v>52</v>
      </c>
      <c r="I15" s="7">
        <v>-55000</v>
      </c>
      <c r="J15" s="4" t="s">
        <v>44</v>
      </c>
      <c r="K15" s="4"/>
      <c r="L15" s="4" t="s">
        <v>93</v>
      </c>
    </row>
    <row r="16" spans="1:12" ht="46" customHeight="1">
      <c r="A16" s="4" t="s">
        <v>62</v>
      </c>
      <c r="B16" s="4" t="s">
        <v>63</v>
      </c>
      <c r="C16" s="6">
        <v>5</v>
      </c>
      <c r="D16" s="4" t="s">
        <v>68</v>
      </c>
      <c r="E16" s="4" t="s">
        <v>40</v>
      </c>
      <c r="F16" s="4" t="s">
        <v>65</v>
      </c>
      <c r="G16" s="4" t="s">
        <v>54</v>
      </c>
      <c r="H16" s="4" t="s">
        <v>55</v>
      </c>
      <c r="I16" s="7">
        <v>-12000</v>
      </c>
      <c r="J16" s="4" t="s">
        <v>44</v>
      </c>
      <c r="K16" s="4"/>
      <c r="L16" s="4" t="s">
        <v>93</v>
      </c>
    </row>
    <row r="17" spans="1:12" ht="46" customHeight="1">
      <c r="A17" s="4" t="s">
        <v>62</v>
      </c>
      <c r="B17" s="4" t="s">
        <v>63</v>
      </c>
      <c r="C17" s="6">
        <v>6</v>
      </c>
      <c r="D17" s="4" t="s">
        <v>69</v>
      </c>
      <c r="E17" s="4" t="s">
        <v>40</v>
      </c>
      <c r="F17" s="4" t="s">
        <v>65</v>
      </c>
      <c r="G17" s="4" t="s">
        <v>57</v>
      </c>
      <c r="H17" s="4" t="s">
        <v>58</v>
      </c>
      <c r="I17" s="7">
        <v>-9000</v>
      </c>
      <c r="J17" s="4" t="s">
        <v>44</v>
      </c>
      <c r="K17" s="4"/>
      <c r="L17" s="4" t="s">
        <v>93</v>
      </c>
    </row>
    <row r="18" spans="1:12" ht="46" customHeight="1">
      <c r="A18" s="4" t="s">
        <v>62</v>
      </c>
      <c r="B18" s="4" t="s">
        <v>63</v>
      </c>
      <c r="C18" s="6">
        <v>7</v>
      </c>
      <c r="D18" s="4" t="s">
        <v>70</v>
      </c>
      <c r="E18" s="4" t="s">
        <v>40</v>
      </c>
      <c r="F18" s="4" t="s">
        <v>65</v>
      </c>
      <c r="G18" s="4" t="s">
        <v>60</v>
      </c>
      <c r="H18" s="4" t="s">
        <v>61</v>
      </c>
      <c r="I18" s="7">
        <v>-4000</v>
      </c>
      <c r="J18" s="4" t="s">
        <v>44</v>
      </c>
      <c r="K18" s="4"/>
      <c r="L18" s="4" t="s">
        <v>93</v>
      </c>
    </row>
    <row r="19" spans="1:12" ht="46" customHeight="1">
      <c r="A19" s="4" t="s">
        <v>71</v>
      </c>
      <c r="B19" s="4" t="s">
        <v>38</v>
      </c>
      <c r="C19" s="6">
        <v>2</v>
      </c>
      <c r="D19" s="4" t="s">
        <v>72</v>
      </c>
      <c r="E19" s="4" t="s">
        <v>40</v>
      </c>
      <c r="F19" s="4" t="s">
        <v>73</v>
      </c>
      <c r="G19" s="4" t="s">
        <v>42</v>
      </c>
      <c r="H19" s="4" t="s">
        <v>43</v>
      </c>
      <c r="I19" s="7">
        <v>220000</v>
      </c>
      <c r="J19" s="4" t="s">
        <v>44</v>
      </c>
      <c r="K19" s="4"/>
      <c r="L19" s="4" t="s">
        <v>94</v>
      </c>
    </row>
    <row r="20" spans="1:12" ht="46" customHeight="1">
      <c r="A20" s="4" t="s">
        <v>71</v>
      </c>
      <c r="B20" s="4" t="s">
        <v>38</v>
      </c>
      <c r="C20" s="6">
        <v>3</v>
      </c>
      <c r="D20" s="4" t="s">
        <v>74</v>
      </c>
      <c r="E20" s="4" t="s">
        <v>40</v>
      </c>
      <c r="F20" s="4" t="s">
        <v>73</v>
      </c>
      <c r="G20" s="4" t="s">
        <v>47</v>
      </c>
      <c r="H20" s="4" t="s">
        <v>48</v>
      </c>
      <c r="I20" s="7">
        <v>-75000</v>
      </c>
      <c r="J20" s="4" t="s">
        <v>44</v>
      </c>
      <c r="K20" s="4"/>
      <c r="L20" s="4" t="s">
        <v>94</v>
      </c>
    </row>
    <row r="21" spans="1:12" ht="46" customHeight="1">
      <c r="A21" s="4" t="s">
        <v>71</v>
      </c>
      <c r="B21" s="4" t="s">
        <v>38</v>
      </c>
      <c r="C21" s="6">
        <v>4</v>
      </c>
      <c r="D21" s="4" t="s">
        <v>75</v>
      </c>
      <c r="E21" s="4" t="s">
        <v>40</v>
      </c>
      <c r="F21" s="4" t="s">
        <v>73</v>
      </c>
      <c r="G21" s="4" t="s">
        <v>51</v>
      </c>
      <c r="H21" s="4" t="s">
        <v>52</v>
      </c>
      <c r="I21" s="7">
        <v>-70000</v>
      </c>
      <c r="J21" s="4" t="s">
        <v>44</v>
      </c>
      <c r="K21" s="4"/>
      <c r="L21" s="4" t="s">
        <v>94</v>
      </c>
    </row>
    <row r="22" spans="1:12" ht="46" customHeight="1">
      <c r="A22" s="4" t="s">
        <v>71</v>
      </c>
      <c r="B22" s="4" t="s">
        <v>38</v>
      </c>
      <c r="C22" s="6">
        <v>5</v>
      </c>
      <c r="D22" s="4" t="s">
        <v>76</v>
      </c>
      <c r="E22" s="4" t="s">
        <v>40</v>
      </c>
      <c r="F22" s="4" t="s">
        <v>73</v>
      </c>
      <c r="G22" s="4" t="s">
        <v>54</v>
      </c>
      <c r="H22" s="4" t="s">
        <v>55</v>
      </c>
      <c r="I22" s="7">
        <v>-14000</v>
      </c>
      <c r="J22" s="4" t="s">
        <v>44</v>
      </c>
      <c r="K22" s="4"/>
      <c r="L22" s="4" t="s">
        <v>94</v>
      </c>
    </row>
    <row r="23" spans="1:12" ht="46" customHeight="1">
      <c r="A23" s="4" t="s">
        <v>71</v>
      </c>
      <c r="B23" s="4" t="s">
        <v>38</v>
      </c>
      <c r="C23" s="6">
        <v>6</v>
      </c>
      <c r="D23" s="4" t="s">
        <v>77</v>
      </c>
      <c r="E23" s="4" t="s">
        <v>40</v>
      </c>
      <c r="F23" s="4" t="s">
        <v>73</v>
      </c>
      <c r="G23" s="4" t="s">
        <v>57</v>
      </c>
      <c r="H23" s="4" t="s">
        <v>58</v>
      </c>
      <c r="I23" s="7">
        <v>-11000</v>
      </c>
      <c r="J23" s="4" t="s">
        <v>44</v>
      </c>
      <c r="K23" s="4"/>
      <c r="L23" s="4" t="s">
        <v>94</v>
      </c>
    </row>
    <row r="24" spans="1:12" ht="46" customHeight="1">
      <c r="A24" s="4" t="s">
        <v>71</v>
      </c>
      <c r="B24" s="4" t="s">
        <v>38</v>
      </c>
      <c r="C24" s="6">
        <v>7</v>
      </c>
      <c r="D24" s="4" t="s">
        <v>78</v>
      </c>
      <c r="E24" s="4" t="s">
        <v>40</v>
      </c>
      <c r="F24" s="4" t="s">
        <v>73</v>
      </c>
      <c r="G24" s="4" t="s">
        <v>60</v>
      </c>
      <c r="H24" s="4" t="s">
        <v>61</v>
      </c>
      <c r="I24" s="7">
        <v>-5000</v>
      </c>
      <c r="J24" s="4" t="s">
        <v>44</v>
      </c>
      <c r="K24" s="4"/>
      <c r="L24" s="4" t="s">
        <v>94</v>
      </c>
    </row>
  </sheetData>
  <autoFilter ref="A6:L24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fictícios&amp;R&amp;P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Resumo</vt:lpstr>
      <vt:lpstr>Base aprovada</vt:lpstr>
      <vt:lpstr>Pendencias</vt:lpstr>
      <vt:lpstr>Conciliacao</vt:lpstr>
      <vt:lpstr>Rastreabilidade</vt:lpstr>
      <vt:lpstr>'Base aprovada'!Print_Area</vt:lpstr>
      <vt:lpstr>Pendencias!Print_Area</vt:lpstr>
      <vt:lpstr>Rastreabilidade!Print_Area</vt:lpstr>
      <vt:lpstr>Resumo!Print_Area</vt:lpstr>
      <vt:lpstr>'Base aprovada'!Print_Titles</vt:lpstr>
      <vt:lpstr>Pendencias!Print_Titles</vt:lpstr>
      <vt:lpstr>Rastreabilidade!Print_Titles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 Close Automation</dc:title>
  <dc:creator>André Mello</dc:creator>
  <dc:description>Dados fictícios. Relatório exportado pelo produto Python.</dc:description>
  <cp:lastModifiedBy>André Mello</cp:lastModifiedBy>
  <dcterms:created xsi:type="dcterms:W3CDTF">2026-10-14T18:18:42Z</dcterms:created>
  <dcterms:modified xsi:type="dcterms:W3CDTF">2026-10-14T18:18:42Z</dcterms:modified>
</cp:coreProperties>
</file>