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Base aprovada" sheetId="2" r:id="rId2"/>
    <sheet name="Pendencias" sheetId="3" r:id="rId3"/>
    <sheet name="Conciliacao" sheetId="4" r:id="rId4"/>
    <sheet name="Rastreabilidade" sheetId="5" r:id="rId5"/>
  </sheets>
  <definedNames>
    <definedName name="_xlnm._FilterDatabase" localSheetId="1" hidden="1">'Base aprovada'!$A$6:$L$8</definedName>
    <definedName name="_xlnm._FilterDatabase" localSheetId="3" hidden="1">Conciliacao!$A$6:$H$7</definedName>
    <definedName name="_xlnm._FilterDatabase" localSheetId="2" hidden="1">Pendencias!$A$6:$L$7</definedName>
    <definedName name="_xlnm._FilterDatabase" localSheetId="4" hidden="1">Rastreabilidade!$A$6:$L$8</definedName>
    <definedName name="_xlnm.Print_Area" localSheetId="1">'Base aprovada'!$A$1:$L$8</definedName>
    <definedName name="_xlnm.Print_Area" localSheetId="2">Pendencias!$A$1:$L$7</definedName>
    <definedName name="_xlnm.Print_Area" localSheetId="4">Rastreabilidade!$A$1:$L$8</definedName>
    <definedName name="_xlnm.Print_Area" localSheetId="0">Resumo!$A$1:$D$29</definedName>
    <definedName name="_xlnm.Print_Titles" localSheetId="1">'Base aprovada'!$1:$6</definedName>
    <definedName name="_xlnm.Print_Titles" localSheetId="2">Pendencias!$1:$6</definedName>
    <definedName name="_xlnm.Print_Titles" localSheetId="4">Rastreabilidade!$1:$6</definedName>
  </definedNames>
  <calcPr calcId="124519" fullCalcOnLoad="1"/>
</workbook>
</file>

<file path=xl/sharedStrings.xml><?xml version="1.0" encoding="utf-8"?>
<sst xmlns="http://schemas.openxmlformats.org/spreadsheetml/2006/main" count="113" uniqueCount="63">
  <si>
    <t>Fechamento mensal</t>
  </si>
  <si>
    <t>Competência 2026-02 · Valores em BRL · Dados da execução. Com pendências, a base é parcial.</t>
  </si>
  <si>
    <t>Indicador</t>
  </si>
  <si>
    <t>Resultado</t>
  </si>
  <si>
    <t>Status</t>
  </si>
  <si>
    <t>VALIDADO</t>
  </si>
  <si>
    <t>Competência</t>
  </si>
  <si>
    <t>2026-02</t>
  </si>
  <si>
    <t>Arquivos recebidos</t>
  </si>
  <si>
    <t>Linhas recebidas</t>
  </si>
  <si>
    <t>Linhas aprovadas</t>
  </si>
  <si>
    <t>Pendências de validação</t>
  </si>
  <si>
    <t>Duplicatas excluídas</t>
  </si>
  <si>
    <t>Linhas em conflito de ID</t>
  </si>
  <si>
    <t>Valores não quantificáveis</t>
  </si>
  <si>
    <t>Receitas da base aprovada</t>
  </si>
  <si>
    <t>Gastos líquidos da base aprovada</t>
  </si>
  <si>
    <t>Resultado da base aprovada</t>
  </si>
  <si>
    <t>Parcela aprovada</t>
  </si>
  <si>
    <t>Recebido quantificável</t>
  </si>
  <si>
    <t>Parcela excluída quantificável</t>
  </si>
  <si>
    <t>Diferença da ponte</t>
  </si>
  <si>
    <t>Conciliação compara as linhas recebidas aos controles de origem. Qualidade define quais linhas entram na base aprovada. Com valor inválido, a soma recebida é apenas a parcela quantificável.</t>
  </si>
  <si>
    <t>Base aprovada</t>
  </si>
  <si>
    <t>Origem preservada por arquivo, aba e linha · Valores em BRL · Dados da execução</t>
  </si>
  <si>
    <t>arquivo</t>
  </si>
  <si>
    <t>aba</t>
  </si>
  <si>
    <t>linha</t>
  </si>
  <si>
    <t>registro_id</t>
  </si>
  <si>
    <t>data_competencia</t>
  </si>
  <si>
    <t>centro_custo</t>
  </si>
  <si>
    <t>categoria</t>
  </si>
  <si>
    <t>descricao</t>
  </si>
  <si>
    <t>valor_brl</t>
  </si>
  <si>
    <t>status</t>
  </si>
  <si>
    <t>motivos</t>
  </si>
  <si>
    <t>natureza</t>
  </si>
  <si>
    <t>lancamentos.csv</t>
  </si>
  <si>
    <t>CSV</t>
  </si>
  <si>
    <t>0001</t>
  </si>
  <si>
    <t>2026-02-15</t>
  </si>
  <si>
    <t>SERV</t>
  </si>
  <si>
    <t>FAT</t>
  </si>
  <si>
    <t>Serviço fictício</t>
  </si>
  <si>
    <t>APROVADO</t>
  </si>
  <si>
    <t>receita</t>
  </si>
  <si>
    <t>0002</t>
  </si>
  <si>
    <t>CUS</t>
  </si>
  <si>
    <t>gasto</t>
  </si>
  <si>
    <t>Pendencias</t>
  </si>
  <si>
    <t>acao_sugerida</t>
  </si>
  <si>
    <t>Sem linhas nesta seleção</t>
  </si>
  <si>
    <t>Conciliação por arquivo</t>
  </si>
  <si>
    <t>Quantidade e total recebidos comparados ao controle · INCOMPLETO indica valores que não puderam ser somados</t>
  </si>
  <si>
    <t>Arquivo</t>
  </si>
  <si>
    <t>Linhas esperadas</t>
  </si>
  <si>
    <t>Recebido quantificável (BRL)</t>
  </si>
  <si>
    <t>Controle (BRL)</t>
  </si>
  <si>
    <t>Diferença (BRL)</t>
  </si>
  <si>
    <t>CONCILIADO</t>
  </si>
  <si>
    <t>Rastreabilidade</t>
  </si>
  <si>
    <t>sha256_arquivo</t>
  </si>
  <si>
    <t>0edd8c61fd572670dda87e5fc5fb916c60bcc71cbdb36ffa6479bf7ade03a4aa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</si>
</sst>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0"/>
      <color rgb="FF52707B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0C6B4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2C38"/>
        <bgColor indexed="64"/>
      </patternFill>
    </fill>
    <fill>
      <patternFill patternType="solid">
        <fgColor rgb="FF254553"/>
        <bgColor indexed="64"/>
      </patternFill>
    </fill>
    <fill>
      <patternFill patternType="solid">
        <fgColor rgb="FFE1F4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9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0" xfId="0" applyFont="1" applyFill="1" applyAlignment="1">
      <alignment vertical="center"/>
    </xf>
    <xf numFmtId="1" fontId="6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tabSelected="1" workbookViewId="0">
      <pane ySplit="6" topLeftCell="A7" activePane="bottomLeft" state="frozen"/>
      <selection pane="bottomLeft"/>
    </sheetView>
  </sheetViews>
  <sheetFormatPr defaultRowHeight="25" customHeight="1"/>
  <cols>
    <col min="1" max="1" width="37.7109375" customWidth="1"/>
    <col min="2" max="2" width="25.7109375" customWidth="1"/>
    <col min="3" max="4" width="13.7109375" customWidth="1"/>
  </cols>
  <sheetData>
    <row r="1" spans="1:4" ht="25" customHeight="1">
      <c r="A1" s="1" t="s">
        <v>0</v>
      </c>
      <c r="B1" s="1"/>
      <c r="C1" s="1"/>
      <c r="D1" s="1"/>
    </row>
    <row r="2" spans="1:4" ht="25" customHeight="1">
      <c r="A2" s="1"/>
      <c r="B2" s="1"/>
      <c r="C2" s="1"/>
      <c r="D2" s="1"/>
    </row>
    <row r="3" spans="1:4" ht="25" customHeight="1">
      <c r="A3" s="2" t="s">
        <v>1</v>
      </c>
      <c r="B3" s="2"/>
      <c r="C3" s="2"/>
      <c r="D3" s="2"/>
    </row>
    <row r="4" spans="1:4" ht="25" customHeight="1">
      <c r="A4" s="2"/>
      <c r="B4" s="2"/>
      <c r="C4" s="2"/>
      <c r="D4" s="2"/>
    </row>
    <row r="6" spans="1:4" ht="25" customHeight="1">
      <c r="A6" s="3" t="s">
        <v>2</v>
      </c>
      <c r="B6" s="3" t="s">
        <v>3</v>
      </c>
    </row>
    <row r="7" spans="1:4" ht="25" customHeight="1">
      <c r="A7" s="4" t="s">
        <v>4</v>
      </c>
      <c r="B7" s="5" t="s">
        <v>5</v>
      </c>
    </row>
    <row r="8" spans="1:4" ht="25" customHeight="1">
      <c r="A8" s="4" t="s">
        <v>6</v>
      </c>
      <c r="B8" s="4" t="s">
        <v>7</v>
      </c>
    </row>
    <row r="9" spans="1:4" ht="25" customHeight="1">
      <c r="A9" s="4" t="s">
        <v>8</v>
      </c>
      <c r="B9" s="6">
        <v>1</v>
      </c>
    </row>
    <row r="10" spans="1:4" ht="25" customHeight="1">
      <c r="A10" s="4" t="s">
        <v>9</v>
      </c>
      <c r="B10" s="6">
        <v>2</v>
      </c>
    </row>
    <row r="11" spans="1:4" ht="25" customHeight="1">
      <c r="A11" s="4" t="s">
        <v>10</v>
      </c>
      <c r="B11" s="6">
        <v>2</v>
      </c>
    </row>
    <row r="12" spans="1:4" ht="25" customHeight="1">
      <c r="A12" s="4" t="s">
        <v>11</v>
      </c>
      <c r="B12" s="6">
        <v>0</v>
      </c>
    </row>
    <row r="13" spans="1:4" ht="25" customHeight="1">
      <c r="A13" s="4" t="s">
        <v>12</v>
      </c>
      <c r="B13" s="6">
        <v>0</v>
      </c>
    </row>
    <row r="14" spans="1:4" ht="25" customHeight="1">
      <c r="A14" s="4" t="s">
        <v>13</v>
      </c>
      <c r="B14" s="6">
        <v>0</v>
      </c>
    </row>
    <row r="15" spans="1:4" ht="25" customHeight="1">
      <c r="A15" s="4" t="s">
        <v>14</v>
      </c>
      <c r="B15" s="6">
        <v>0</v>
      </c>
    </row>
    <row r="17" spans="1:4" ht="25" customHeight="1">
      <c r="A17" s="4" t="s">
        <v>15</v>
      </c>
      <c r="B17" s="7">
        <f>SUMIF('Base aprovada'!L7:L8,"receita",'Base aprovada'!I7:I8)</f>
        <v>1250.5</v>
      </c>
    </row>
    <row r="18" spans="1:4" ht="25" customHeight="1">
      <c r="A18" s="4" t="s">
        <v>16</v>
      </c>
      <c r="B18" s="7">
        <f>-SUMIF('Base aprovada'!L7:L8,"gasto",'Base aprovada'!I7:I8)</f>
        <v>250.5</v>
      </c>
    </row>
    <row r="19" spans="1:4" ht="25" customHeight="1">
      <c r="A19" s="4" t="s">
        <v>17</v>
      </c>
      <c r="B19" s="7">
        <f>B17-B18</f>
        <v>1000.0</v>
      </c>
    </row>
    <row r="21" spans="1:4" ht="25" customHeight="1">
      <c r="A21" s="4" t="s">
        <v>19</v>
      </c>
      <c r="B21" s="7">
        <v>1000</v>
      </c>
    </row>
    <row r="22" spans="1:4" ht="25" customHeight="1">
      <c r="A22" s="4" t="s">
        <v>18</v>
      </c>
      <c r="B22" s="7">
        <f>SUM('Base aprovada'!I7:I8)</f>
        <v>1000.0</v>
      </c>
    </row>
    <row r="23" spans="1:4" ht="25" customHeight="1">
      <c r="A23" s="4" t="s">
        <v>20</v>
      </c>
      <c r="B23" s="7">
        <v>0</v>
      </c>
    </row>
    <row r="24" spans="1:4" ht="25" customHeight="1">
      <c r="A24" s="4" t="s">
        <v>21</v>
      </c>
      <c r="B24" s="7">
        <f>B21-B22-B23</f>
        <v>0</v>
      </c>
    </row>
    <row r="27" spans="1:4" ht="25" customHeight="1">
      <c r="A27" s="2" t="s">
        <v>22</v>
      </c>
      <c r="B27" s="2"/>
      <c r="C27" s="2"/>
      <c r="D27" s="2"/>
    </row>
    <row r="28" spans="1:4" ht="25" customHeight="1">
      <c r="A28" s="2"/>
      <c r="B28" s="2"/>
      <c r="C28" s="2"/>
      <c r="D28" s="2"/>
    </row>
    <row r="29" spans="1:4" ht="25" customHeight="1">
      <c r="A29" s="2"/>
      <c r="B29" s="2"/>
      <c r="C29" s="2"/>
      <c r="D29" s="2"/>
    </row>
  </sheetData>
  <mergeCells count="3">
    <mergeCell ref="A1:D2"/>
    <mergeCell ref="A3:D4"/>
    <mergeCell ref="A27:D29"/>
  </mergeCells>
  <pageMargins left="0.3" right="0.3" top="0.4" bottom="0.4" header="0.3" footer="0.3"/>
  <pageSetup paperSize="9" fitToHeight="0" orientation="landscape"/>
  <headerFooter>
    <oddFooter>&amp;LFinance Close Automation — Dados da execução&amp;R&amp;P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19.7109375" customWidth="1"/>
  </cols>
  <sheetData>
    <row r="1" spans="1:12" ht="25" customHeight="1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36</v>
      </c>
    </row>
    <row r="7" spans="1:12" ht="36" customHeight="1">
      <c r="A7" s="4" t="s">
        <v>37</v>
      </c>
      <c r="B7" s="4" t="s">
        <v>38</v>
      </c>
      <c r="C7" s="6">
        <v>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>
        <v>1250.5</v>
      </c>
      <c r="J7" s="4" t="s">
        <v>44</v>
      </c>
      <c r="K7" s="4"/>
      <c r="L7" s="4" t="s">
        <v>45</v>
      </c>
    </row>
    <row r="8" spans="1:12" ht="36" customHeight="1">
      <c r="A8" s="4" t="s">
        <v>37</v>
      </c>
      <c r="B8" s="4" t="s">
        <v>38</v>
      </c>
      <c r="C8" s="6">
        <v>3</v>
      </c>
      <c r="D8" s="4" t="s">
        <v>46</v>
      </c>
      <c r="E8" s="4" t="s">
        <v>40</v>
      </c>
      <c r="F8" s="4" t="s">
        <v>41</v>
      </c>
      <c r="G8" s="4" t="s">
        <v>47</v>
      </c>
      <c r="H8" s="4"/>
      <c r="I8" s="7">
        <v>-250.5</v>
      </c>
      <c r="J8" s="4" t="s">
        <v>44</v>
      </c>
      <c r="K8" s="4"/>
      <c r="L8" s="4" t="s">
        <v>48</v>
      </c>
    </row>
  </sheetData>
  <autoFilter ref="A6:L8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da execução&amp;R&amp;P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64.7109375" customWidth="1"/>
  </cols>
  <sheetData>
    <row r="1" spans="1:12" ht="25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50</v>
      </c>
    </row>
    <row r="7" spans="1:12" ht="25" customHeight="1">
      <c r="A7" s="2" t="s">
        <v>51</v>
      </c>
    </row>
  </sheetData>
  <autoFilter ref="A6:L7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da execução&amp;R&amp;P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5" customHeight="1"/>
  <cols>
    <col min="1" max="1" width="24.7109375" customWidth="1"/>
    <col min="2" max="7" width="21.7109375" customWidth="1"/>
    <col min="8" max="8" width="23.7109375" customWidth="1"/>
  </cols>
  <sheetData>
    <row r="1" spans="1:8" ht="25" customHeight="1">
      <c r="A1" s="1" t="s">
        <v>52</v>
      </c>
      <c r="B1" s="1"/>
      <c r="C1" s="1"/>
      <c r="D1" s="1"/>
      <c r="E1" s="1"/>
      <c r="F1" s="1"/>
      <c r="G1" s="1"/>
      <c r="H1" s="1"/>
    </row>
    <row r="2" spans="1:8" ht="25" customHeight="1">
      <c r="A2" s="1"/>
      <c r="B2" s="1"/>
      <c r="C2" s="1"/>
      <c r="D2" s="1"/>
      <c r="E2" s="1"/>
      <c r="F2" s="1"/>
      <c r="G2" s="1"/>
      <c r="H2" s="1"/>
    </row>
    <row r="3" spans="1:8" ht="25" customHeight="1">
      <c r="A3" s="2" t="s">
        <v>53</v>
      </c>
      <c r="B3" s="2"/>
      <c r="C3" s="2"/>
      <c r="D3" s="2"/>
      <c r="E3" s="2"/>
      <c r="F3" s="2"/>
      <c r="G3" s="2"/>
      <c r="H3" s="2"/>
    </row>
    <row r="4" spans="1:8" ht="25" customHeight="1">
      <c r="A4" s="2"/>
      <c r="B4" s="2"/>
      <c r="C4" s="2"/>
      <c r="D4" s="2"/>
      <c r="E4" s="2"/>
      <c r="F4" s="2"/>
      <c r="G4" s="2"/>
      <c r="H4" s="2"/>
    </row>
    <row r="6" spans="1:8" ht="36" customHeight="1">
      <c r="A6" s="3" t="s">
        <v>54</v>
      </c>
      <c r="B6" s="3" t="s">
        <v>9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14</v>
      </c>
      <c r="H6" s="3" t="s">
        <v>4</v>
      </c>
    </row>
    <row r="7" spans="1:8" ht="36" customHeight="1">
      <c r="A7" s="4" t="s">
        <v>37</v>
      </c>
      <c r="B7" s="4">
        <v>2</v>
      </c>
      <c r="C7" s="4">
        <v>2</v>
      </c>
      <c r="D7" s="7">
        <v>1000</v>
      </c>
      <c r="E7" s="7">
        <v>1000</v>
      </c>
      <c r="F7" s="7">
        <v>0</v>
      </c>
      <c r="G7" s="4">
        <v>0</v>
      </c>
      <c r="H7" s="4" t="s">
        <v>59</v>
      </c>
    </row>
  </sheetData>
  <autoFilter ref="A6:H7"/>
  <mergeCells count="2">
    <mergeCell ref="A1:H2"/>
    <mergeCell ref="A3:H4"/>
  </mergeCells>
  <pageMargins left="0.3" right="0.3" top="0.4" bottom="0.4" header="0.3" footer="0.3"/>
  <pageSetup paperSize="9" fitToHeight="0" orientation="landscape"/>
  <headerFooter>
    <oddFooter>&amp;LFinance Close Automation — Dados da execução&amp;R&amp;P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5" customHeight="1"/>
  <cols>
    <col min="1" max="2" width="19.7109375" customWidth="1"/>
    <col min="3" max="3" width="9.7109375" customWidth="1"/>
    <col min="4" max="7" width="19.7109375" customWidth="1"/>
    <col min="8" max="8" width="34.7109375" customWidth="1"/>
    <col min="9" max="10" width="19.7109375" customWidth="1"/>
    <col min="11" max="11" width="42.7109375" customWidth="1"/>
    <col min="12" max="12" width="25.7109375" customWidth="1"/>
  </cols>
  <sheetData>
    <row r="1" spans="1:12" ht="25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5" customHeight="1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1:12" ht="32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61</v>
      </c>
    </row>
    <row r="7" spans="1:12" ht="46" customHeight="1">
      <c r="A7" s="4" t="s">
        <v>37</v>
      </c>
      <c r="B7" s="4" t="s">
        <v>38</v>
      </c>
      <c r="C7" s="6">
        <v>2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>
        <v>1250.5</v>
      </c>
      <c r="J7" s="4" t="s">
        <v>44</v>
      </c>
      <c r="K7" s="4"/>
      <c r="L7" s="4" t="s">
        <v>62</v>
      </c>
    </row>
    <row r="8" spans="1:12" ht="46" customHeight="1">
      <c r="A8" s="4" t="s">
        <v>37</v>
      </c>
      <c r="B8" s="4" t="s">
        <v>38</v>
      </c>
      <c r="C8" s="6">
        <v>3</v>
      </c>
      <c r="D8" s="4" t="s">
        <v>46</v>
      </c>
      <c r="E8" s="4" t="s">
        <v>40</v>
      </c>
      <c r="F8" s="4" t="s">
        <v>41</v>
      </c>
      <c r="G8" s="4" t="s">
        <v>47</v>
      </c>
      <c r="H8" s="4"/>
      <c r="I8" s="7">
        <v>-250.5</v>
      </c>
      <c r="J8" s="4" t="s">
        <v>44</v>
      </c>
      <c r="K8" s="4"/>
      <c r="L8" s="4" t="s">
        <v>62</v>
      </c>
    </row>
  </sheetData>
  <autoFilter ref="A6:L8"/>
  <mergeCells count="2">
    <mergeCell ref="A1:L2"/>
    <mergeCell ref="A3:L4"/>
  </mergeCells>
  <pageMargins left="0.3" right="0.3" top="0.4" bottom="0.4" header="0.3" footer="0.3"/>
  <pageSetup paperSize="9" fitToHeight="0" orientation="landscape"/>
  <headerFooter>
    <oddFooter>&amp;LFinance Close Automation — Dados da execução&amp;R&amp;P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Resumo</vt:lpstr>
      <vt:lpstr>Base aprovada</vt:lpstr>
      <vt:lpstr>Pendencias</vt:lpstr>
      <vt:lpstr>Conciliacao</vt:lpstr>
      <vt:lpstr>Rastreabilidade</vt:lpstr>
      <vt:lpstr>'Base aprovada'!Print_Area</vt:lpstr>
      <vt:lpstr>Pendencias!Print_Area</vt:lpstr>
      <vt:lpstr>Rastreabilidade!Print_Area</vt:lpstr>
      <vt:lpstr>Resumo!Print_Area</vt:lpstr>
      <vt:lpstr>'Base aprovada'!Print_Titles</vt:lpstr>
      <vt:lpstr>Pendencias!Print_Titles</vt:lpstr>
      <vt:lpstr>Rastreabilidade!Print_Titles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 Close Automation</dc:title>
  <dc:creator>André Mello</dc:creator>
  <dc:description>Dados da execução. Relatório exportado pelo produto Python.</dc:description>
  <cp:lastModifiedBy>André Mello</cp:lastModifiedBy>
  <dcterms:created xsi:type="dcterms:W3CDTF">2026-10-14T18:18:42Z</dcterms:created>
  <dcterms:modified xsi:type="dcterms:W3CDTF">2026-10-14T18:18:42Z</dcterms:modified>
</cp:coreProperties>
</file>